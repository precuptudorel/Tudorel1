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TEMP1\"/>
    </mc:Choice>
  </mc:AlternateContent>
  <xr:revisionPtr revIDLastSave="0" documentId="13_ncr:1_{AF5BAC70-31FB-4617-8A68-D84BFC98D40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C10" i="1"/>
  <c r="D5" i="1"/>
  <c r="E4" i="1"/>
  <c r="E8" i="1" s="1"/>
  <c r="D4" i="1"/>
  <c r="B5" i="1"/>
  <c r="C4" i="1"/>
  <c r="C8" i="1" s="1"/>
  <c r="B4" i="1"/>
  <c r="C16" i="1"/>
  <c r="C9" i="1" l="1"/>
  <c r="E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Tudorel</author>
  </authors>
  <commentList>
    <comment ref="C8" authorId="0" shapeId="0" xr:uid="{AAA19A68-07A1-44B2-B083-06D6E13F4B7E}">
      <text>
        <r>
          <rPr>
            <b/>
            <sz val="9"/>
            <color indexed="81"/>
            <rFont val="Tahoma"/>
            <family val="2"/>
            <charset val="238"/>
          </rPr>
          <t>Tudorel:</t>
        </r>
        <r>
          <rPr>
            <sz val="9"/>
            <color indexed="81"/>
            <rFont val="Tahoma"/>
            <family val="2"/>
            <charset val="238"/>
          </rPr>
          <t xml:space="preserve">
=IF(AND(A1=0.5; A2&gt;8); 55; 66)</t>
        </r>
      </text>
    </comment>
    <comment ref="E8" authorId="0" shapeId="0" xr:uid="{223B09FB-E47E-460D-B42F-F36D66880E98}">
      <text>
        <r>
          <rPr>
            <b/>
            <sz val="9"/>
            <color indexed="81"/>
            <rFont val="Tahoma"/>
            <family val="2"/>
            <charset val="238"/>
          </rPr>
          <t>Tudorel:</t>
        </r>
        <r>
          <rPr>
            <sz val="9"/>
            <color indexed="81"/>
            <rFont val="Tahoma"/>
            <family val="2"/>
            <charset val="238"/>
          </rPr>
          <t xml:space="preserve">
=IF(AND(A1=0.5; A2&gt;8); 55; 66)</t>
        </r>
      </text>
    </comment>
  </commentList>
</comments>
</file>

<file path=xl/sharedStrings.xml><?xml version="1.0" encoding="utf-8"?>
<sst xmlns="http://schemas.openxmlformats.org/spreadsheetml/2006/main" count="33" uniqueCount="31">
  <si>
    <t>Vechime</t>
  </si>
  <si>
    <t>facultate</t>
  </si>
  <si>
    <t>Mica</t>
  </si>
  <si>
    <t>depozit</t>
  </si>
  <si>
    <t>Total</t>
  </si>
  <si>
    <t>Pensie</t>
  </si>
  <si>
    <t>Pilon 2</t>
  </si>
  <si>
    <t>1 septembrie 2024 lege 60/40</t>
  </si>
  <si>
    <t>Lunar probabil</t>
  </si>
  <si>
    <t>ap</t>
  </si>
  <si>
    <t>gars</t>
  </si>
  <si>
    <t>credit euro</t>
  </si>
  <si>
    <t>40000  euro 5 ani</t>
  </si>
  <si>
    <t>811 euro lunar</t>
  </si>
  <si>
    <t>An</t>
  </si>
  <si>
    <t>Total ani de cotizare</t>
  </si>
  <si>
    <t>v</t>
  </si>
  <si>
    <t>Ani fara cotizare</t>
  </si>
  <si>
    <t>Anul Pensionarii</t>
  </si>
  <si>
    <t>An implinire 60 ani</t>
  </si>
  <si>
    <t>An aplicare lege 60/40</t>
  </si>
  <si>
    <t xml:space="preserve">   =IF(B6&lt;61,B7,B6-C10+40)</t>
  </si>
  <si>
    <t xml:space="preserve">  =IF(AND(A1=0.5; A2&gt;8); 55; 66)</t>
  </si>
  <si>
    <t xml:space="preserve">  =IF(AND(B6&lt;61,C10&gt;39,B7,B6-C10+40)</t>
  </si>
  <si>
    <t>Calcul an pensionare</t>
  </si>
  <si>
    <t>An nastere / angajare</t>
  </si>
  <si>
    <t>Varstra an curent</t>
  </si>
  <si>
    <t>Pensie pilon 2 de pensii</t>
  </si>
  <si>
    <t xml:space="preserve">Pensie pilon 2 de pensii  1 / 3 </t>
  </si>
  <si>
    <t>Georgiga</t>
  </si>
  <si>
    <t>Giorgica 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</si>
</sst>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Times New Roman"/>
      <charset val="134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  <font>
      <b/>
      <sz val="12"/>
      <color rgb="FF1E1E1E"/>
      <name val="Segoe UI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6" xfId="0" applyFont="1" applyBorder="1">
      <alignment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2" xfId="0" applyFont="1" applyBorder="1">
      <alignment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75" defaultRowHeight="15.75"/>
  <cols>
    <col min="1" max="1" width="25.5" customWidth="1"/>
    <col min="2" max="2" width="5.5" style="10" customWidth="1"/>
    <col min="3" max="3" width="9" style="10" customWidth="1"/>
    <col min="4" max="4" width="7.125" style="10" customWidth="1"/>
    <col min="5" max="5" width="9.625" style="10" customWidth="1"/>
    <col min="6" max="6" width="8.375" hidden="1" customWidth="1"/>
    <col min="7" max="7" width="14.25" hidden="1" customWidth="1"/>
    <col min="8" max="8" width="0" hidden="1" customWidth="1"/>
    <col min="9" max="9" width="18.375" hidden="1" customWidth="1"/>
    <col min="10" max="14" width="0" hidden="1" customWidth="1"/>
  </cols>
  <sheetData>
    <row r="1" spans="1:10">
      <c r="A1" s="17" t="s">
        <v>7</v>
      </c>
      <c r="B1" s="18" t="s">
        <v>29</v>
      </c>
      <c r="C1" s="19"/>
      <c r="D1" s="18" t="s">
        <v>30</v>
      </c>
      <c r="E1" s="19"/>
      <c r="G1" t="s">
        <v>16</v>
      </c>
    </row>
    <row r="2" spans="1:10">
      <c r="A2" s="7" t="s">
        <v>24</v>
      </c>
      <c r="B2" s="14" t="s">
        <v>14</v>
      </c>
      <c r="C2" s="14" t="s">
        <v>0</v>
      </c>
      <c r="D2" s="14" t="s">
        <v>14</v>
      </c>
      <c r="E2" s="14" t="s">
        <v>0</v>
      </c>
      <c r="G2" s="3">
        <v>1962</v>
      </c>
      <c r="H2" s="4">
        <v>1981</v>
      </c>
    </row>
    <row r="3" spans="1:10">
      <c r="A3" s="7" t="s">
        <v>25</v>
      </c>
      <c r="B3" s="15">
        <v>1966</v>
      </c>
      <c r="C3" s="15">
        <v>1984</v>
      </c>
      <c r="D3" s="15">
        <v>1962</v>
      </c>
      <c r="E3" s="15">
        <v>1981</v>
      </c>
      <c r="G3" s="4">
        <v>2026</v>
      </c>
      <c r="H3" s="4">
        <v>2026</v>
      </c>
    </row>
    <row r="4" spans="1:10" ht="17.25">
      <c r="A4" s="7" t="s">
        <v>26</v>
      </c>
      <c r="B4" s="14">
        <f ca="1">YEAR(TODAY())-B3</f>
        <v>60</v>
      </c>
      <c r="C4" s="14">
        <f ca="1">YEAR(TODAY())</f>
        <v>2026</v>
      </c>
      <c r="D4" s="14">
        <f ca="1">YEAR(TODAY())-D3</f>
        <v>64</v>
      </c>
      <c r="E4" s="14">
        <f ca="1">YEAR(TODAY())</f>
        <v>2026</v>
      </c>
      <c r="J4" s="11"/>
    </row>
    <row r="5" spans="1:10">
      <c r="A5" s="7" t="s">
        <v>19</v>
      </c>
      <c r="B5" s="14">
        <f>B3+60</f>
        <v>2026</v>
      </c>
      <c r="C5" s="14"/>
      <c r="D5" s="14">
        <f>D3+60</f>
        <v>2022</v>
      </c>
      <c r="E5" s="14"/>
    </row>
    <row r="6" spans="1:10">
      <c r="A6" s="17" t="s">
        <v>20</v>
      </c>
      <c r="B6" s="15">
        <v>2024</v>
      </c>
      <c r="C6" s="15"/>
      <c r="D6" s="15">
        <v>2024</v>
      </c>
      <c r="E6" s="15"/>
    </row>
    <row r="7" spans="1:10">
      <c r="A7" s="7" t="s">
        <v>17</v>
      </c>
      <c r="B7" s="14"/>
      <c r="C7" s="15">
        <v>0</v>
      </c>
      <c r="D7" s="14"/>
      <c r="E7" s="15">
        <v>3</v>
      </c>
      <c r="G7" s="3" t="s">
        <v>1</v>
      </c>
      <c r="H7" s="4">
        <v>3</v>
      </c>
    </row>
    <row r="8" spans="1:10">
      <c r="A8" s="7" t="s">
        <v>15</v>
      </c>
      <c r="B8" s="14"/>
      <c r="C8" s="14">
        <f ca="1">C4-C3-C7</f>
        <v>42</v>
      </c>
      <c r="D8" s="14"/>
      <c r="E8" s="14">
        <f ca="1">E4-E3-E7</f>
        <v>42</v>
      </c>
    </row>
    <row r="9" spans="1:10">
      <c r="A9" s="7" t="s">
        <v>18</v>
      </c>
      <c r="B9" s="14"/>
      <c r="C9" s="14">
        <f ca="1">IF(AND(B4&lt;61,C8&gt;39),B5,B4-C8+40)</f>
        <v>2026</v>
      </c>
      <c r="D9" s="14"/>
      <c r="E9" s="14">
        <f ca="1">IF(AND(D4&lt;61,E8&gt;39),D5,E4-E8+40)</f>
        <v>2024</v>
      </c>
      <c r="G9" s="9" t="s">
        <v>21</v>
      </c>
    </row>
    <row r="10" spans="1:10" hidden="1">
      <c r="B10" s="5" t="s">
        <v>5</v>
      </c>
      <c r="C10" s="6" t="e">
        <f>#REF!-#REF!</f>
        <v>#REF!</v>
      </c>
      <c r="D10" s="16"/>
      <c r="E10" s="16"/>
    </row>
    <row r="11" spans="1:10" hidden="1">
      <c r="B11" s="2" t="s">
        <v>6</v>
      </c>
      <c r="C11" s="8">
        <v>45000</v>
      </c>
    </row>
    <row r="12" spans="1:10" hidden="1">
      <c r="B12" s="2" t="s">
        <v>8</v>
      </c>
      <c r="C12" s="8">
        <v>5000</v>
      </c>
    </row>
    <row r="13" spans="1:10" hidden="1"/>
    <row r="14" spans="1:10" hidden="1">
      <c r="B14" s="13" t="s">
        <v>2</v>
      </c>
      <c r="C14" s="13">
        <v>4037</v>
      </c>
      <c r="D14" s="16"/>
      <c r="E14" s="16"/>
    </row>
    <row r="15" spans="1:10" hidden="1">
      <c r="B15" s="13" t="s">
        <v>3</v>
      </c>
      <c r="C15" s="13">
        <v>43069</v>
      </c>
      <c r="D15" s="16"/>
      <c r="E15" s="16"/>
    </row>
    <row r="16" spans="1:10" hidden="1">
      <c r="B16" s="13" t="s">
        <v>4</v>
      </c>
      <c r="C16" s="13">
        <f>SUM(C14:C15)</f>
        <v>47106</v>
      </c>
      <c r="D16" s="16"/>
      <c r="E16" s="16"/>
    </row>
    <row r="17" spans="1:10" hidden="1">
      <c r="B17" s="12" t="s">
        <v>12</v>
      </c>
      <c r="C17" s="12" t="s">
        <v>13</v>
      </c>
      <c r="D17" s="12"/>
      <c r="E17" s="12"/>
    </row>
    <row r="18" spans="1:10" hidden="1">
      <c r="B18" s="2" t="s">
        <v>9</v>
      </c>
      <c r="C18" s="1">
        <v>95000</v>
      </c>
    </row>
    <row r="19" spans="1:10" hidden="1">
      <c r="B19" s="2" t="s">
        <v>10</v>
      </c>
      <c r="C19" s="1">
        <v>35000</v>
      </c>
    </row>
    <row r="20" spans="1:10" hidden="1">
      <c r="B20" s="12" t="s">
        <v>11</v>
      </c>
      <c r="C20" s="10">
        <v>50000</v>
      </c>
    </row>
    <row r="21" spans="1:10" hidden="1"/>
    <row r="22" spans="1:10" hidden="1"/>
    <row r="23" spans="1:10" hidden="1"/>
    <row r="24" spans="1:10" hidden="1"/>
    <row r="25" spans="1:10">
      <c r="G25" s="9" t="s">
        <v>22</v>
      </c>
    </row>
    <row r="26" spans="1:10">
      <c r="A26" s="23" t="s">
        <v>27</v>
      </c>
      <c r="B26" s="24"/>
      <c r="C26" s="4">
        <v>47700</v>
      </c>
      <c r="G26" s="9" t="s">
        <v>23</v>
      </c>
    </row>
    <row r="27" spans="1:10">
      <c r="A27" s="20" t="s">
        <v>28</v>
      </c>
      <c r="B27" s="21"/>
      <c r="C27" s="22">
        <f>C26/3</f>
        <v>15900</v>
      </c>
    </row>
    <row r="31" spans="1:10">
      <c r="G31">
        <v>1981</v>
      </c>
      <c r="H31">
        <v>1982</v>
      </c>
      <c r="I31">
        <v>1983</v>
      </c>
      <c r="J31">
        <v>1984</v>
      </c>
    </row>
  </sheetData>
  <pageMargins left="0.75" right="0.75" top="1" bottom="1" header="0.51180555555555596" footer="0.51180555555555596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5" defaultRowHeight="15.75"/>
  <sheetData/>
  <pageMargins left="0.75" right="0.75" top="1" bottom="1" header="0.51180555555555596" footer="0.511805555555555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5" defaultRowHeight="15.75"/>
  <sheetData/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Tudorel</cp:lastModifiedBy>
  <cp:lastPrinted>2026-05-28T07:36:17Z</cp:lastPrinted>
  <dcterms:created xsi:type="dcterms:W3CDTF">2025-12-11T11:02:21Z</dcterms:created>
  <dcterms:modified xsi:type="dcterms:W3CDTF">2026-06-19T11:09:46Z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